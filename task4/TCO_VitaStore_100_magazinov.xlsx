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" sheetId="1" state="visible" r:id="rId3"/>
    <sheet name="TCO_AS-IS" sheetId="2" state="visible" r:id="rId4"/>
    <sheet name="TCO_TO-BE" sheetId="3" state="visible" r:id="rId5"/>
    <sheet name="RO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<sst xmlns="http://schemas.openxmlformats.org/spreadsheetml/2006/main" count="77" uniqueCount="61">
  <si>
    <t xml:space="preserve">Допущения расчёта TCO — 100 магазинов, горизонт 3 года</t>
  </si>
  <si>
    <t xml:space="preserve">Общие параметры</t>
  </si>
  <si>
    <t xml:space="preserve">Число магазинов в расчёте</t>
  </si>
  <si>
    <t xml:space="preserve">Стоимость одного FTE поддержки (полная, с налогами), ₽/год</t>
  </si>
  <si>
    <t xml:space="preserve">Допущение для кейса, не фактические данные HR</t>
  </si>
  <si>
    <t xml:space="preserve">AS-IS — текущая инфраструктура (локальный сервер в магазине)</t>
  </si>
  <si>
    <t xml:space="preserve">CapEx на ремонт/замену сервера и кассового ПК, ₽/магазин/год</t>
  </si>
  <si>
    <t xml:space="preserve">Обусловлено выходом из строя оборудования (см. INC-8433)</t>
  </si>
  <si>
    <t xml:space="preserve">Лицензии Windows Server + SQL Server, ₽/магазин/год</t>
  </si>
  <si>
    <t xml:space="preserve">Штат поддержки (Team Store Ops + выездные инженеры), FTE</t>
  </si>
  <si>
    <t xml:space="preserve">Команда перегружена поддержкой легаси (кейс VitaStore)</t>
  </si>
  <si>
    <t xml:space="preserve">Выездное обслуживание и простои (инциденты), ₽/магазин/год</t>
  </si>
  <si>
    <t xml:space="preserve">Канал связи, ₽/магазин/год</t>
  </si>
  <si>
    <t xml:space="preserve">Индексация AS-IS: старение инфраструктуры + инфляция, %/год</t>
  </si>
  <si>
    <t xml:space="preserve">Рост риска отказов у стареющего парка серверов</t>
  </si>
  <si>
    <t xml:space="preserve">TO-BE — целевая облачная архитектура (тонкий клиент + HAL, см. Задание 3)</t>
  </si>
  <si>
    <t xml:space="preserve">CapEx: тонкий клиент (Cloud POS) + HAL-устройство, ₽/магазин (единоразово, Год 1)</t>
  </si>
  <si>
    <t xml:space="preserve">Ежегодное обновление парка устройств, % от начального CapEx</t>
  </si>
  <si>
    <t xml:space="preserve">С Года 2: частичная замена/ремонт тонких клиентов и HAL</t>
  </si>
  <si>
    <t xml:space="preserve">Миграция и внедрение платформы (единоразово, Год 1), ₽</t>
  </si>
  <si>
    <t xml:space="preserve">Разработка HAL-адаптеров, облачного бэкенда, роллаут на 100 магазинов, обучение</t>
  </si>
  <si>
    <t xml:space="preserve">Подписка Cloud POS / HAL платформа, ₽/магазин/мес</t>
  </si>
  <si>
    <t xml:space="preserve">Облачная инфраструктура (API GW, Payment Gateway, MDM/PIM, Sync, Managed DB), ₽/год (Год 1)</t>
  </si>
  <si>
    <t xml:space="preserve">Рост стоимости облачной инфраструктуры, %/год</t>
  </si>
  <si>
    <t xml:space="preserve">Рост нагрузки по мере подключения магазинов</t>
  </si>
  <si>
    <t xml:space="preserve">Штат поддержки (удалённый мониторинг, без выездов), FTE</t>
  </si>
  <si>
    <t xml:space="preserve">Выездное обслуживание (замена устройств), ₽/магазин/год</t>
  </si>
  <si>
    <t xml:space="preserve">Канал связи (основной + резервный для офлайн-режима), ₽/магазин/год</t>
  </si>
  <si>
    <t xml:space="preserve">Индексация TO-BE: подписки/инфраструктура, %/год</t>
  </si>
  <si>
    <t xml:space="preserve">Все значения на этом листе — иллюстративные допущения для кейса VitaStore (не фактические цены поставщиков). Ячейки с жёлтой заливкой — единственные, которые нужно менять при пересчёте модели.</t>
  </si>
  <si>
    <t xml:space="preserve">TCO AS-IS на горизонте 3 лет — 100 магазинов</t>
  </si>
  <si>
    <t xml:space="preserve">Статья затрат</t>
  </si>
  <si>
    <t xml:space="preserve">Год 1</t>
  </si>
  <si>
    <t xml:space="preserve">Год 2</t>
  </si>
  <si>
    <t xml:space="preserve">Год 3</t>
  </si>
  <si>
    <t xml:space="preserve">Итого 3 года</t>
  </si>
  <si>
    <t xml:space="preserve">Оборудование (CapEx)</t>
  </si>
  <si>
    <t xml:space="preserve">Лицензии / Подписки (OpEx)</t>
  </si>
  <si>
    <t xml:space="preserve">Миграция и внедрение (единоразово)</t>
  </si>
  <si>
    <t xml:space="preserve">ФОТ поддержки</t>
  </si>
  <si>
    <t xml:space="preserve">Выездное обслуживание и инциденты</t>
  </si>
  <si>
    <t xml:space="preserve">Каналы связи</t>
  </si>
  <si>
    <t xml:space="preserve">Облачная инфраструктура (Payment Gateway, MDM/PIM, Sync, Managed DB)</t>
  </si>
  <si>
    <t xml:space="preserve">ИТОГО</t>
  </si>
  <si>
    <t xml:space="preserve">Строки «Миграция и внедрение» и «Облачная инфраструктура» относятся только к сценарию TO-BE — в AS-IS таких статей нет (0).</t>
  </si>
  <si>
    <t xml:space="preserve">TCO TO-BE на горизонте 3 лет — 100 магазинов</t>
  </si>
  <si>
    <t xml:space="preserve">Строка «Миграция и внедрение» — единоразовые затраты Года 1 на разработку платформы и роллаут на 100 магазинов.</t>
  </si>
  <si>
    <t xml:space="preserve">ROI и точка безубыточности миграции (Break-even)</t>
  </si>
  <si>
    <t xml:space="preserve">Показатель</t>
  </si>
  <si>
    <t xml:space="preserve">Итого AS-IS, ₽</t>
  </si>
  <si>
    <t xml:space="preserve">Итого TO-BE, ₽</t>
  </si>
  <si>
    <t xml:space="preserve">Экономия за год (AS-IS − TO-BE), ₽</t>
  </si>
  <si>
    <t xml:space="preserve">Накопленный AS-IS, ₽</t>
  </si>
  <si>
    <t xml:space="preserve">Накопленный TO-BE, ₽</t>
  </si>
  <si>
    <t xml:space="preserve">Накопленный эффект (AS-IS − TO-BE), ₽</t>
  </si>
  <si>
    <t xml:space="preserve">Точка безубыточности, месяцев от старта проекта</t>
  </si>
  <si>
    <t xml:space="preserve">Точка безубыточности, лет</t>
  </si>
  <si>
    <t xml:space="preserve">Дополнительные инвестиции в Год 1 (TO-BE − AS-IS), ₽</t>
  </si>
  <si>
    <t xml:space="preserve">Чистая экономия за 3 года, ₽</t>
  </si>
  <si>
    <t xml:space="preserve">ROI за 3 года (чистая экономия / доп. инвестиции Года 1), %</t>
  </si>
  <si>
    <t xml:space="preserve">Точка безубыточности рассчитана в предположении равномерного распределения затрат внутри года. Поскольку миграционный CapEx и внедрение фактически приходятся на начало Года 1, реальная точка безубыточности может сместиться на 1–2 месяца позже расчётной.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</si>
</sst>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₽&quot;;\(#,##0&quot;) ₽&quot;;\-"/>
    <numFmt numFmtId="166" formatCode="0"/>
    <numFmt numFmtId="167" formatCode="0.0%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100</v>
      </c>
    </row>
    <row r="5" customFormat="false" ht="15" hidden="false" customHeight="false" outlineLevel="0" collapsed="false">
      <c r="A5" s="3" t="s">
        <v>3</v>
      </c>
      <c r="B5" s="5" t="n">
        <v>1200000</v>
      </c>
      <c r="C5" s="6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3" t="s">
        <v>6</v>
      </c>
      <c r="B8" s="5" t="n">
        <v>15000</v>
      </c>
      <c r="C8" s="6" t="s">
        <v>7</v>
      </c>
    </row>
    <row r="9" customFormat="false" ht="15" hidden="false" customHeight="false" outlineLevel="0" collapsed="false">
      <c r="A9" s="3" t="s">
        <v>8</v>
      </c>
      <c r="B9" s="5" t="n">
        <v>40000</v>
      </c>
    </row>
    <row r="10" customFormat="false" ht="15" hidden="false" customHeight="false" outlineLevel="0" collapsed="false">
      <c r="A10" s="3" t="s">
        <v>9</v>
      </c>
      <c r="B10" s="7" t="n">
        <v>10</v>
      </c>
      <c r="C10" s="6" t="s">
        <v>10</v>
      </c>
    </row>
    <row r="11" customFormat="false" ht="15" hidden="false" customHeight="false" outlineLevel="0" collapsed="false">
      <c r="A11" s="3" t="s">
        <v>11</v>
      </c>
      <c r="B11" s="5" t="n">
        <v>8000</v>
      </c>
    </row>
    <row r="12" customFormat="false" ht="15" hidden="false" customHeight="false" outlineLevel="0" collapsed="false">
      <c r="A12" s="3" t="s">
        <v>12</v>
      </c>
      <c r="B12" s="5" t="n">
        <v>18000</v>
      </c>
    </row>
    <row r="13" customFormat="false" ht="15" hidden="false" customHeight="false" outlineLevel="0" collapsed="false">
      <c r="A13" s="3" t="s">
        <v>13</v>
      </c>
      <c r="B13" s="8" t="n">
        <v>0.07</v>
      </c>
      <c r="C13" s="6" t="s">
        <v>14</v>
      </c>
    </row>
    <row r="15" customFormat="false" ht="15" hidden="false" customHeight="false" outlineLevel="0" collapsed="false">
      <c r="A15" s="2" t="s">
        <v>15</v>
      </c>
    </row>
    <row r="16" customFormat="false" ht="15" hidden="false" customHeight="false" outlineLevel="0" collapsed="false">
      <c r="A16" s="3" t="s">
        <v>16</v>
      </c>
      <c r="B16" s="5" t="n">
        <v>60000</v>
      </c>
    </row>
    <row r="17" customFormat="false" ht="15" hidden="false" customHeight="false" outlineLevel="0" collapsed="false">
      <c r="A17" s="3" t="s">
        <v>17</v>
      </c>
      <c r="B17" s="8" t="n">
        <v>0.05</v>
      </c>
      <c r="C17" s="6" t="s">
        <v>18</v>
      </c>
    </row>
    <row r="18" customFormat="false" ht="15" hidden="false" customHeight="false" outlineLevel="0" collapsed="false">
      <c r="A18" s="3" t="s">
        <v>19</v>
      </c>
      <c r="B18" s="5" t="n">
        <v>10000000</v>
      </c>
      <c r="C18" s="6" t="s">
        <v>20</v>
      </c>
    </row>
    <row r="19" customFormat="false" ht="15" hidden="false" customHeight="false" outlineLevel="0" collapsed="false">
      <c r="A19" s="3" t="s">
        <v>21</v>
      </c>
      <c r="B19" s="5" t="n">
        <v>3000</v>
      </c>
    </row>
    <row r="20" customFormat="false" ht="15" hidden="false" customHeight="false" outlineLevel="0" collapsed="false">
      <c r="A20" s="3" t="s">
        <v>22</v>
      </c>
      <c r="B20" s="5" t="n">
        <v>2500000</v>
      </c>
    </row>
    <row r="21" customFormat="false" ht="15" hidden="false" customHeight="false" outlineLevel="0" collapsed="false">
      <c r="A21" s="3" t="s">
        <v>23</v>
      </c>
      <c r="B21" s="8" t="n">
        <v>0.08</v>
      </c>
      <c r="C21" s="6" t="s">
        <v>24</v>
      </c>
    </row>
    <row r="22" customFormat="false" ht="15" hidden="false" customHeight="false" outlineLevel="0" collapsed="false">
      <c r="A22" s="3" t="s">
        <v>25</v>
      </c>
      <c r="B22" s="7" t="n">
        <v>4</v>
      </c>
    </row>
    <row r="23" customFormat="false" ht="15" hidden="false" customHeight="false" outlineLevel="0" collapsed="false">
      <c r="A23" s="3" t="s">
        <v>26</v>
      </c>
      <c r="B23" s="5" t="n">
        <v>1500</v>
      </c>
    </row>
    <row r="24" customFormat="false" ht="15" hidden="false" customHeight="false" outlineLevel="0" collapsed="false">
      <c r="A24" s="3" t="s">
        <v>27</v>
      </c>
      <c r="B24" s="5" t="n">
        <v>24000</v>
      </c>
    </row>
    <row r="25" customFormat="false" ht="15" hidden="false" customHeight="false" outlineLevel="0" collapsed="false">
      <c r="A25" s="3" t="s">
        <v>28</v>
      </c>
      <c r="B25" s="8" t="n">
        <v>0.05</v>
      </c>
    </row>
    <row r="27" customFormat="false" ht="22.35" hidden="false" customHeight="true" outlineLevel="0" collapsed="false">
      <c r="A27" s="9" t="s">
        <v>29</v>
      </c>
      <c r="B27" s="9"/>
      <c r="C27" s="9"/>
      <c r="D27" s="9"/>
      <c r="E27" s="9"/>
      <c r="F27" s="9"/>
      <c r="G27" s="9"/>
    </row>
  </sheetData>
  <mergeCells count="2">
    <mergeCell ref="A1:C1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30</v>
      </c>
      <c r="B1" s="1"/>
      <c r="C1" s="1"/>
      <c r="D1" s="1"/>
      <c r="E1" s="1"/>
    </row>
    <row r="3" customFormat="false" ht="31.5" hidden="false" customHeight="true" outlineLevel="0" collapsed="false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</row>
    <row r="4" customFormat="false" ht="15" hidden="false" customHeight="false" outlineLevel="0" collapsed="false">
      <c r="A4" s="11" t="s">
        <v>36</v>
      </c>
      <c r="B4" s="12" t="n">
        <f aca="false">Допущения!$B$4*Допущения!$B$8</f>
        <v>1500000</v>
      </c>
      <c r="C4" s="12" t="n">
        <f aca="false">B4*(1+Допущения!$B$13)</f>
        <v>1605000</v>
      </c>
      <c r="D4" s="12" t="n">
        <f aca="false">C4*(1+Допущения!$B$13)</f>
        <v>1717350</v>
      </c>
      <c r="E4" s="12" t="n">
        <f aca="false">B4+C4+D4</f>
        <v>4822350</v>
      </c>
    </row>
    <row r="5" customFormat="false" ht="15" hidden="false" customHeight="false" outlineLevel="0" collapsed="false">
      <c r="A5" s="11" t="s">
        <v>37</v>
      </c>
      <c r="B5" s="12" t="n">
        <f aca="false">Допущения!$B$4*Допущения!$B$9</f>
        <v>4000000</v>
      </c>
      <c r="C5" s="12" t="n">
        <f aca="false">B5*(1+Допущения!$B$13)</f>
        <v>4280000</v>
      </c>
      <c r="D5" s="12" t="n">
        <f aca="false">C5*(1+Допущения!$B$13)</f>
        <v>4579600</v>
      </c>
      <c r="E5" s="12" t="n">
        <f aca="false">B5+C5+D5</f>
        <v>12859600</v>
      </c>
    </row>
    <row r="6" customFormat="false" ht="15" hidden="false" customHeight="false" outlineLevel="0" collapsed="false">
      <c r="A6" s="11" t="s">
        <v>38</v>
      </c>
      <c r="B6" s="12" t="n">
        <v>0</v>
      </c>
      <c r="C6" s="12" t="n">
        <v>0</v>
      </c>
      <c r="D6" s="12" t="n">
        <v>0</v>
      </c>
      <c r="E6" s="12" t="n">
        <f aca="false">B6+C6+D6</f>
        <v>0</v>
      </c>
    </row>
    <row r="7" customFormat="false" ht="15" hidden="false" customHeight="false" outlineLevel="0" collapsed="false">
      <c r="A7" s="11" t="s">
        <v>39</v>
      </c>
      <c r="B7" s="12" t="n">
        <f aca="false">Допущения!$B$10*Допущения!$B$5</f>
        <v>12000000</v>
      </c>
      <c r="C7" s="12" t="n">
        <f aca="false">B7*(1+Допущения!$B$13)</f>
        <v>12840000</v>
      </c>
      <c r="D7" s="12" t="n">
        <f aca="false">C7*(1+Допущения!$B$13)</f>
        <v>13738800</v>
      </c>
      <c r="E7" s="12" t="n">
        <f aca="false">B7+C7+D7</f>
        <v>38578800</v>
      </c>
    </row>
    <row r="8" customFormat="false" ht="15" hidden="false" customHeight="false" outlineLevel="0" collapsed="false">
      <c r="A8" s="11" t="s">
        <v>40</v>
      </c>
      <c r="B8" s="12" t="n">
        <f aca="false">Допущения!$B$4*Допущения!$B$11</f>
        <v>800000</v>
      </c>
      <c r="C8" s="12" t="n">
        <f aca="false">B8*(1+Допущения!$B$13)</f>
        <v>856000</v>
      </c>
      <c r="D8" s="12" t="n">
        <f aca="false">C8*(1+Допущения!$B$13)</f>
        <v>915920</v>
      </c>
      <c r="E8" s="12" t="n">
        <f aca="false">B8+C8+D8</f>
        <v>2571920</v>
      </c>
    </row>
    <row r="9" customFormat="false" ht="15" hidden="false" customHeight="false" outlineLevel="0" collapsed="false">
      <c r="A9" s="11" t="s">
        <v>41</v>
      </c>
      <c r="B9" s="12" t="n">
        <f aca="false">Допущения!$B$4*Допущения!$B$12</f>
        <v>1800000</v>
      </c>
      <c r="C9" s="12" t="n">
        <f aca="false">B9*(1+Допущения!$B$13)</f>
        <v>1926000</v>
      </c>
      <c r="D9" s="12" t="n">
        <f aca="false">C9*(1+Допущения!$B$13)</f>
        <v>2060820</v>
      </c>
      <c r="E9" s="12" t="n">
        <f aca="false">B9+C9+D9</f>
        <v>5786820</v>
      </c>
    </row>
    <row r="10" customFormat="false" ht="15" hidden="false" customHeight="false" outlineLevel="0" collapsed="false">
      <c r="A10" s="11" t="s">
        <v>42</v>
      </c>
      <c r="B10" s="12" t="n">
        <v>0</v>
      </c>
      <c r="C10" s="12" t="n">
        <v>0</v>
      </c>
      <c r="D10" s="12" t="n">
        <v>0</v>
      </c>
      <c r="E10" s="12" t="n">
        <f aca="false">B10+C10+D10</f>
        <v>0</v>
      </c>
    </row>
    <row r="11" customFormat="false" ht="15" hidden="false" customHeight="false" outlineLevel="0" collapsed="false">
      <c r="A11" s="13" t="s">
        <v>43</v>
      </c>
      <c r="B11" s="14" t="n">
        <f aca="false">SUM(B4:B10)</f>
        <v>20100000</v>
      </c>
      <c r="C11" s="14" t="n">
        <f aca="false">SUM(C4:C10)</f>
        <v>21507000</v>
      </c>
      <c r="D11" s="14" t="n">
        <f aca="false">SUM(D4:D10)</f>
        <v>23012490</v>
      </c>
      <c r="E11" s="14" t="n">
        <f aca="false">SUM(E4:E10)</f>
        <v>64619490</v>
      </c>
    </row>
    <row r="13" customFormat="false" ht="15" hidden="false" customHeight="true" outlineLevel="0" collapsed="false">
      <c r="A13" s="9" t="s">
        <v>44</v>
      </c>
      <c r="B13" s="9"/>
      <c r="C13" s="9"/>
      <c r="D13" s="9"/>
      <c r="E13" s="9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  <c r="E1" s="1"/>
    </row>
    <row r="3" customFormat="false" ht="31.5" hidden="false" customHeight="true" outlineLevel="0" collapsed="false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</row>
    <row r="4" customFormat="false" ht="15" hidden="false" customHeight="false" outlineLevel="0" collapsed="false">
      <c r="A4" s="11" t="s">
        <v>36</v>
      </c>
      <c r="B4" s="12" t="n">
        <f aca="false">Допущения!$B$4*Допущения!$B$16</f>
        <v>6000000</v>
      </c>
      <c r="C4" s="12" t="n">
        <f aca="false">Допущения!$B$4*Допущения!$B$16*Допущения!$B$17</f>
        <v>300000</v>
      </c>
      <c r="D4" s="12" t="n">
        <f aca="false">C4*(1+Допущения!$B$25)</f>
        <v>315000</v>
      </c>
      <c r="E4" s="12" t="n">
        <f aca="false">B4+C4+D4</f>
        <v>6615000</v>
      </c>
    </row>
    <row r="5" customFormat="false" ht="15" hidden="false" customHeight="false" outlineLevel="0" collapsed="false">
      <c r="A5" s="11" t="s">
        <v>37</v>
      </c>
      <c r="B5" s="12" t="n">
        <f aca="false">Допущения!$B$4*Допущения!$B$19*12</f>
        <v>3600000</v>
      </c>
      <c r="C5" s="12" t="n">
        <f aca="false">B5*(1+Допущения!$B$25)</f>
        <v>3780000</v>
      </c>
      <c r="D5" s="12" t="n">
        <f aca="false">C5*(1+Допущения!$B$25)</f>
        <v>3969000</v>
      </c>
      <c r="E5" s="12" t="n">
        <f aca="false">B5+C5+D5</f>
        <v>11349000</v>
      </c>
    </row>
    <row r="6" customFormat="false" ht="15" hidden="false" customHeight="false" outlineLevel="0" collapsed="false">
      <c r="A6" s="11" t="s">
        <v>38</v>
      </c>
      <c r="B6" s="12" t="n">
        <f aca="false">Допущения!$B$18</f>
        <v>10000000</v>
      </c>
      <c r="C6" s="12" t="n">
        <v>0</v>
      </c>
      <c r="D6" s="12" t="n">
        <v>0</v>
      </c>
      <c r="E6" s="12" t="n">
        <f aca="false">B6+C6+D6</f>
        <v>10000000</v>
      </c>
    </row>
    <row r="7" customFormat="false" ht="15" hidden="false" customHeight="false" outlineLevel="0" collapsed="false">
      <c r="A7" s="11" t="s">
        <v>39</v>
      </c>
      <c r="B7" s="12" t="n">
        <f aca="false">Допущения!$B$22*Допущения!$B$5</f>
        <v>4800000</v>
      </c>
      <c r="C7" s="12" t="n">
        <f aca="false">B7*(1+Допущения!$B$25)</f>
        <v>5040000</v>
      </c>
      <c r="D7" s="12" t="n">
        <f aca="false">C7*(1+Допущения!$B$25)</f>
        <v>5292000</v>
      </c>
      <c r="E7" s="12" t="n">
        <f aca="false">B7+C7+D7</f>
        <v>15132000</v>
      </c>
    </row>
    <row r="8" customFormat="false" ht="15" hidden="false" customHeight="false" outlineLevel="0" collapsed="false">
      <c r="A8" s="11" t="s">
        <v>40</v>
      </c>
      <c r="B8" s="12" t="n">
        <f aca="false">Допущения!$B$4*Допущения!$B$23</f>
        <v>150000</v>
      </c>
      <c r="C8" s="12" t="n">
        <f aca="false">B8*(1+Допущения!$B$25)</f>
        <v>157500</v>
      </c>
      <c r="D8" s="12" t="n">
        <f aca="false">C8*(1+Допущения!$B$25)</f>
        <v>165375</v>
      </c>
      <c r="E8" s="12" t="n">
        <f aca="false">B8+C8+D8</f>
        <v>472875</v>
      </c>
    </row>
    <row r="9" customFormat="false" ht="15" hidden="false" customHeight="false" outlineLevel="0" collapsed="false">
      <c r="A9" s="11" t="s">
        <v>41</v>
      </c>
      <c r="B9" s="12" t="n">
        <f aca="false">Допущения!$B$4*Допущения!$B$24</f>
        <v>2400000</v>
      </c>
      <c r="C9" s="12" t="n">
        <f aca="false">B9*(1+Допущения!$B$25)</f>
        <v>2520000</v>
      </c>
      <c r="D9" s="12" t="n">
        <f aca="false">C9*(1+Допущения!$B$25)</f>
        <v>2646000</v>
      </c>
      <c r="E9" s="12" t="n">
        <f aca="false">B9+C9+D9</f>
        <v>7566000</v>
      </c>
    </row>
    <row r="10" customFormat="false" ht="15" hidden="false" customHeight="false" outlineLevel="0" collapsed="false">
      <c r="A10" s="11" t="s">
        <v>42</v>
      </c>
      <c r="B10" s="12" t="n">
        <f aca="false">Допущения!$B$20</f>
        <v>2500000</v>
      </c>
      <c r="C10" s="12" t="n">
        <f aca="false">B10*(1+Допущения!$B$21)</f>
        <v>2700000</v>
      </c>
      <c r="D10" s="12" t="n">
        <f aca="false">C10*(1+Допущения!$B$21)</f>
        <v>2916000</v>
      </c>
      <c r="E10" s="12" t="n">
        <f aca="false">B10+C10+D10</f>
        <v>8116000</v>
      </c>
    </row>
    <row r="11" customFormat="false" ht="15" hidden="false" customHeight="false" outlineLevel="0" collapsed="false">
      <c r="A11" s="13" t="s">
        <v>43</v>
      </c>
      <c r="B11" s="14" t="n">
        <f aca="false">SUM(B4:B10)</f>
        <v>29450000</v>
      </c>
      <c r="C11" s="14" t="n">
        <f aca="false">SUM(C4:C10)</f>
        <v>14497500</v>
      </c>
      <c r="D11" s="14" t="n">
        <f aca="false">SUM(D4:D10)</f>
        <v>15303375</v>
      </c>
      <c r="E11" s="14" t="n">
        <f aca="false">SUM(E4:E10)</f>
        <v>59250875</v>
      </c>
    </row>
    <row r="13" customFormat="false" ht="15" hidden="false" customHeight="true" outlineLevel="0" collapsed="false">
      <c r="A13" s="9" t="s">
        <v>46</v>
      </c>
      <c r="B13" s="9"/>
      <c r="C13" s="9"/>
      <c r="D13" s="9"/>
      <c r="E13" s="9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47</v>
      </c>
      <c r="B1" s="1"/>
      <c r="C1" s="1"/>
      <c r="D1" s="1"/>
    </row>
    <row r="3" customFormat="false" ht="15" hidden="false" customHeight="false" outlineLevel="0" collapsed="false">
      <c r="A3" s="15" t="s">
        <v>48</v>
      </c>
      <c r="B3" s="15" t="s">
        <v>32</v>
      </c>
      <c r="C3" s="15" t="s">
        <v>33</v>
      </c>
      <c r="D3" s="15" t="s">
        <v>34</v>
      </c>
    </row>
    <row r="4" customFormat="false" ht="15" hidden="false" customHeight="false" outlineLevel="0" collapsed="false">
      <c r="A4" s="16" t="s">
        <v>49</v>
      </c>
      <c r="B4" s="17" t="n">
        <f aca="false">'TCO_AS-IS'!B11</f>
        <v>20100000</v>
      </c>
      <c r="C4" s="17" t="n">
        <f aca="false">'TCO_AS-IS'!C11</f>
        <v>21507000</v>
      </c>
      <c r="D4" s="17" t="n">
        <f aca="false">'TCO_AS-IS'!D11</f>
        <v>23012490</v>
      </c>
    </row>
    <row r="5" customFormat="false" ht="15" hidden="false" customHeight="false" outlineLevel="0" collapsed="false">
      <c r="A5" s="16" t="s">
        <v>50</v>
      </c>
      <c r="B5" s="17" t="n">
        <f aca="false">'TCO_TO-BE'!B11</f>
        <v>29450000</v>
      </c>
      <c r="C5" s="17" t="n">
        <f aca="false">'TCO_TO-BE'!C11</f>
        <v>14497500</v>
      </c>
      <c r="D5" s="17" t="n">
        <f aca="false">'TCO_TO-BE'!D11</f>
        <v>15303375</v>
      </c>
    </row>
    <row r="6" customFormat="false" ht="15" hidden="false" customHeight="false" outlineLevel="0" collapsed="false">
      <c r="A6" s="16" t="s">
        <v>51</v>
      </c>
      <c r="B6" s="12" t="n">
        <f aca="false">B4-B5</f>
        <v>-9350000</v>
      </c>
      <c r="C6" s="12" t="n">
        <f aca="false">C4-C5</f>
        <v>7009500</v>
      </c>
      <c r="D6" s="12" t="n">
        <f aca="false">D4-D5</f>
        <v>7709115</v>
      </c>
    </row>
    <row r="7" customFormat="false" ht="15" hidden="false" customHeight="false" outlineLevel="0" collapsed="false">
      <c r="A7" s="16" t="s">
        <v>52</v>
      </c>
      <c r="B7" s="12" t="n">
        <f aca="false">B4</f>
        <v>20100000</v>
      </c>
      <c r="C7" s="12" t="n">
        <f aca="false">B7+C4</f>
        <v>41607000</v>
      </c>
      <c r="D7" s="12" t="n">
        <f aca="false">C7+D4</f>
        <v>64619490</v>
      </c>
    </row>
    <row r="8" customFormat="false" ht="15" hidden="false" customHeight="false" outlineLevel="0" collapsed="false">
      <c r="A8" s="16" t="s">
        <v>53</v>
      </c>
      <c r="B8" s="12" t="n">
        <f aca="false">B5</f>
        <v>29450000</v>
      </c>
      <c r="C8" s="12" t="n">
        <f aca="false">B8+C5</f>
        <v>43947500</v>
      </c>
      <c r="D8" s="12" t="n">
        <f aca="false">C8+D5</f>
        <v>59250875</v>
      </c>
    </row>
    <row r="9" customFormat="false" ht="15" hidden="false" customHeight="false" outlineLevel="0" collapsed="false">
      <c r="A9" s="16" t="s">
        <v>54</v>
      </c>
      <c r="B9" s="18" t="n">
        <f aca="false">B7-B8</f>
        <v>-9350000</v>
      </c>
      <c r="C9" s="18" t="n">
        <f aca="false">C7-C8</f>
        <v>-2340500</v>
      </c>
      <c r="D9" s="18" t="n">
        <f aca="false">D7-D8</f>
        <v>5368615</v>
      </c>
    </row>
    <row r="11" customFormat="false" ht="15" hidden="false" customHeight="false" outlineLevel="0" collapsed="false">
      <c r="A11" s="19" t="s">
        <v>55</v>
      </c>
      <c r="B11" s="13" t="n">
        <f aca="false">IF(B9&gt;=0, 0, IF(C9&gt;=0, 12+12*(-B9)/C6, IF(D9&gt;=0, 24+12*(-C9)/D6, "не окупается за 3 года")))</f>
        <v>27.6432197470138</v>
      </c>
    </row>
    <row r="12" customFormat="false" ht="15" hidden="false" customHeight="false" outlineLevel="0" collapsed="false">
      <c r="A12" s="3" t="s">
        <v>56</v>
      </c>
      <c r="B12" s="20" t="n">
        <f aca="false">IFERROR(B11/12, "—")</f>
        <v>2.30360164558448</v>
      </c>
    </row>
    <row r="14" customFormat="false" ht="15" hidden="false" customHeight="false" outlineLevel="0" collapsed="false">
      <c r="A14" s="3" t="s">
        <v>57</v>
      </c>
      <c r="B14" s="21" t="n">
        <f aca="false">B5-B4</f>
        <v>9350000</v>
      </c>
    </row>
    <row r="15" customFormat="false" ht="15" hidden="false" customHeight="false" outlineLevel="0" collapsed="false">
      <c r="A15" s="3" t="s">
        <v>58</v>
      </c>
      <c r="B15" s="17" t="n">
        <f aca="false">'TCO_AS-IS'!E11-'TCO_TO-BE'!E11</f>
        <v>5368615</v>
      </c>
    </row>
    <row r="16" customFormat="false" ht="15" hidden="false" customHeight="false" outlineLevel="0" collapsed="false">
      <c r="A16" s="3" t="s">
        <v>59</v>
      </c>
      <c r="B16" s="22" t="n">
        <f aca="false">IFERROR(B15/B14, "—")</f>
        <v>0.574183422459893</v>
      </c>
    </row>
    <row r="18" customFormat="false" ht="32.8" hidden="false" customHeight="true" outlineLevel="0" collapsed="false">
      <c r="A18" s="9" t="s">
        <v>60</v>
      </c>
      <c r="B18" s="9"/>
      <c r="C18" s="9"/>
      <c r="D18" s="9"/>
    </row>
  </sheetData>
  <mergeCells count="2">
    <mergeCell ref="A1:D1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2026-09-13T18:41:22Z</dcterms:created>
  <dc:creator>openpyxl</dc:creator>
  <dc:description/>
  <dc:language>en-US</dc:language>
  <cp:lastModifiedBy/>
  <dcterms:modified xsi:type="dcterms:W3CDTF">2026-09-13T18:41:22Z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